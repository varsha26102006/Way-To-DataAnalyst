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rs\Desktop\Learning Path\"/>
    </mc:Choice>
  </mc:AlternateContent>
  <xr:revisionPtr revIDLastSave="0" documentId="8_{B58B718D-678C-4652-A38C-0BC2075BE432}" xr6:coauthVersionLast="47" xr6:coauthVersionMax="47" xr10:uidLastSave="{00000000-0000-0000-0000-000000000000}"/>
  <bookViews>
    <workbookView xWindow="-108" yWindow="-108" windowWidth="23256" windowHeight="12456" xr2:uid="{F8632F09-0E62-4AF7-84A3-23130D6FD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<sst xmlns="http://schemas.openxmlformats.org/spreadsheetml/2006/main" count="22" uniqueCount="17">
  <si>
    <t>Employee ID</t>
  </si>
  <si>
    <t>Name</t>
  </si>
  <si>
    <t>Department</t>
  </si>
  <si>
    <t>Salary</t>
  </si>
  <si>
    <t>Rahul</t>
  </si>
  <si>
    <t>IT</t>
  </si>
  <si>
    <t>Priya</t>
  </si>
  <si>
    <t>HR</t>
  </si>
  <si>
    <t>Arjun</t>
  </si>
  <si>
    <t>Meena</t>
  </si>
  <si>
    <t>Sales</t>
  </si>
  <si>
    <t>Karthik</t>
  </si>
  <si>
    <t>Divya</t>
  </si>
  <si>
    <t>Akash</t>
  </si>
  <si>
    <t>Sneha</t>
  </si>
  <si>
    <t>Count(IT)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</si>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</sst>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64D5-E564-4E79-B60D-C6004A86195F}">
  <dimension ref="A1:G9"/>
  <sheetViews>
    <sheetView tabSelected="1" zoomScale="122" workbookViewId="0">
      <selection activeCell="G6" sqref="G6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</row>
    <row r="2" spans="1:7" x14ac:dyDescent="0.3">
      <c r="A2" s="2">
        <v>101</v>
      </c>
      <c r="B2" s="2" t="s">
        <v>4</v>
      </c>
      <c r="C2" s="2" t="s">
        <v>5</v>
      </c>
      <c r="D2" s="2">
        <v>35000</v>
      </c>
      <c r="E2">
        <f>COUNTIF(C2:C9,"it")</f>
        <v>4</v>
      </c>
      <c r="F2">
        <f>SUMIF(C2:C9,"it",D2:D9)</f>
        <v>170000</v>
      </c>
      <c r="G2" t="str">
        <f>VLOOKUP(101,A2:D9,2,FALSE)</f>
        <v>Rahul</v>
      </c>
    </row>
    <row r="3" spans="1:7" x14ac:dyDescent="0.3">
      <c r="A3" s="2">
        <v>102</v>
      </c>
      <c r="B3" s="2" t="s">
        <v>6</v>
      </c>
      <c r="C3" s="2" t="s">
        <v>7</v>
      </c>
      <c r="D3" s="2">
        <v>30000</v>
      </c>
      <c r="E3">
        <f>COUNTIF(C2:C11,"hr")</f>
        <v>2</v>
      </c>
      <c r="F3">
        <f>SUMIF(C2:C9,"sales",D2:D9)</f>
        <v>57000</v>
      </c>
      <c r="G3" t="str">
        <f>VLOOKUP(102,A2:D9,2,FALSE)</f>
        <v>Priya</v>
      </c>
    </row>
    <row r="4" spans="1:7" x14ac:dyDescent="0.3">
      <c r="A4" s="2">
        <v>103</v>
      </c>
      <c r="B4" s="2" t="s">
        <v>8</v>
      </c>
      <c r="C4" s="2" t="s">
        <v>5</v>
      </c>
      <c r="D4" s="2">
        <v>40000</v>
      </c>
      <c r="E4">
        <f>COUNTIF(C2:C11,"sales")</f>
        <v>2</v>
      </c>
      <c r="F4">
        <f>SUMIF(C2:C9,"hr",D2:D9)</f>
        <v>62000</v>
      </c>
      <c r="G4" t="str">
        <f>VLOOKUP(104,A2:D9,2,FALSE)</f>
        <v>Meena</v>
      </c>
    </row>
    <row r="5" spans="1:7" x14ac:dyDescent="0.3">
      <c r="A5" s="2">
        <v>104</v>
      </c>
      <c r="B5" s="2" t="s">
        <v>9</v>
      </c>
      <c r="C5" s="2" t="s">
        <v>10</v>
      </c>
      <c r="D5" s="2">
        <v>28000</v>
      </c>
      <c r="G5" t="str">
        <f>INDEX(B2:B9,MATCH(101,A2:A9,0))</f>
        <v>Rahul</v>
      </c>
    </row>
    <row r="6" spans="1:7" x14ac:dyDescent="0.3">
      <c r="A6" s="2">
        <v>105</v>
      </c>
      <c r="B6" s="2" t="s">
        <v>11</v>
      </c>
      <c r="C6" s="2" t="s">
        <v>5</v>
      </c>
      <c r="D6" s="2">
        <v>45000</v>
      </c>
    </row>
    <row r="7" spans="1:7" x14ac:dyDescent="0.3">
      <c r="A7" s="2">
        <v>106</v>
      </c>
      <c r="B7" s="2" t="s">
        <v>12</v>
      </c>
      <c r="C7" s="2" t="s">
        <v>7</v>
      </c>
      <c r="D7" s="2">
        <v>32000</v>
      </c>
    </row>
    <row r="8" spans="1:7" x14ac:dyDescent="0.3">
      <c r="A8" s="2">
        <v>107</v>
      </c>
      <c r="B8" s="2" t="s">
        <v>13</v>
      </c>
      <c r="C8" s="2" t="s">
        <v>10</v>
      </c>
      <c r="D8" s="2">
        <v>29000</v>
      </c>
    </row>
    <row r="9" spans="1:7" x14ac:dyDescent="0.3">
      <c r="A9" s="2">
        <v>108</v>
      </c>
      <c r="B9" s="2" t="s">
        <v>14</v>
      </c>
      <c r="C9" s="2" t="s">
        <v>5</v>
      </c>
      <c r="D9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MOHANRAJ</dc:creator>
  <cp:lastModifiedBy>VARSHA MOHANRAJ</cp:lastModifiedBy>
  <dcterms:created xsi:type="dcterms:W3CDTF">2026-07-06T12:38:56Z</dcterms:created>
  <dcterms:modified xsi:type="dcterms:W3CDTF">2026-07-06T13:17:50Z</dcterms:modified>
</cp:coreProperties>
</file>